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7c737d8488178e/Documents/Project/Karachi/Dashboard/draft/files/data/"/>
    </mc:Choice>
  </mc:AlternateContent>
  <xr:revisionPtr revIDLastSave="0" documentId="8_{26555C74-F002-4605-BF3C-4F00B5259854}" xr6:coauthVersionLast="47" xr6:coauthVersionMax="47" xr10:uidLastSave="{00000000-0000-0000-0000-000000000000}"/>
  <bookViews>
    <workbookView xWindow="-110" yWindow="-110" windowWidth="19420" windowHeight="10300" xr2:uid="{8496C342-D33A-4F12-A4EF-87DEC8E3B2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2" i="1"/>
  <c r="G3" i="1"/>
  <c r="G4" i="1"/>
  <c r="G5" i="1"/>
  <c r="G6" i="1"/>
  <c r="G7" i="1"/>
  <c r="G8" i="1"/>
  <c r="G2" i="1"/>
  <c r="H3" i="1"/>
  <c r="H4" i="1"/>
  <c r="H2" i="1"/>
  <c r="H6" i="1"/>
  <c r="H7" i="1"/>
  <c r="H8" i="1"/>
  <c r="H5" i="1"/>
</calcChain>
</file>

<file path=xl/sharedStrings.xml><?xml version="1.0" encoding="utf-8"?>
<sst xmlns="http://schemas.openxmlformats.org/spreadsheetml/2006/main" count="18" uniqueCount="18">
  <si>
    <t>Name</t>
  </si>
  <si>
    <t>KARACHI WEST DISTRICT</t>
  </si>
  <si>
    <t>KARACHI EAST DISTRICT</t>
  </si>
  <si>
    <t>MALIR DISTRICT</t>
  </si>
  <si>
    <t>KARACHI CENTRAL DISTRICT</t>
  </si>
  <si>
    <t>KARACHI SOUTH DISTRICT</t>
  </si>
  <si>
    <t>KORANGI DISTRICT</t>
  </si>
  <si>
    <t>KEAMARI DISTRICT</t>
  </si>
  <si>
    <t xml:space="preserve">Male </t>
  </si>
  <si>
    <t>Female</t>
  </si>
  <si>
    <t xml:space="preserve">	1,263,752</t>
  </si>
  <si>
    <t xml:space="preserve">	1,088,520	</t>
  </si>
  <si>
    <t>Population in 2023</t>
  </si>
  <si>
    <t>Population in 2017</t>
  </si>
  <si>
    <t>Population in 1998</t>
  </si>
  <si>
    <t>Increase from 2017 to 2023</t>
  </si>
  <si>
    <t>Increase from 1998 to 2023</t>
  </si>
  <si>
    <t>Increase from 1998 to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</si>
</sst>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rgb="FF1F2D3D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10" fontId="2" fillId="0" borderId="0" xfId="0" applyNumberFormat="1" applyFont="1"/>
    <xf numFmtId="3" fontId="2" fillId="0" borderId="1" xfId="0" applyNumberFormat="1" applyFont="1" applyBorder="1" applyAlignment="1">
      <alignment vertical="top"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9F6CF-E2B5-409E-9ECB-3AC45875210E}">
  <dimension ref="A1:I8"/>
  <sheetViews>
    <sheetView tabSelected="1" workbookViewId="0">
      <selection activeCell="I1" sqref="I1"/>
    </sheetView>
  </sheetViews>
  <sheetFormatPr defaultRowHeight="14.5" x14ac:dyDescent="0.35"/>
  <cols>
    <col min="2" max="4" width="8.90625" bestFit="1" customWidth="1"/>
    <col min="6" max="6" width="8.90625" bestFit="1" customWidth="1"/>
  </cols>
  <sheetData>
    <row r="1" spans="1:9" x14ac:dyDescent="0.35">
      <c r="A1" t="s">
        <v>0</v>
      </c>
      <c r="B1" t="s">
        <v>8</v>
      </c>
      <c r="C1" t="s">
        <v>9</v>
      </c>
      <c r="D1" t="s">
        <v>12</v>
      </c>
      <c r="E1" t="s">
        <v>13</v>
      </c>
      <c r="F1" t="s">
        <v>14</v>
      </c>
      <c r="G1" s="5" t="s">
        <v>17</v>
      </c>
      <c r="H1" t="s">
        <v>15</v>
      </c>
      <c r="I1" t="s">
        <v>16</v>
      </c>
    </row>
    <row r="2" spans="1:9" x14ac:dyDescent="0.35">
      <c r="A2" t="s">
        <v>2</v>
      </c>
      <c r="B2" s="1">
        <v>2085145</v>
      </c>
      <c r="C2" s="1">
        <v>1836597</v>
      </c>
      <c r="D2" s="1">
        <v>3921742</v>
      </c>
      <c r="E2" s="2">
        <v>2909921</v>
      </c>
      <c r="F2" s="1">
        <v>1472896</v>
      </c>
      <c r="G2" s="5">
        <f>((E2-F2)/F2)</f>
        <v>0.97564593834187885</v>
      </c>
      <c r="H2" s="3">
        <f>((D2-E2)/E2)</f>
        <v>0.34771425066178774</v>
      </c>
      <c r="I2" s="5">
        <f>(D2-F2)/F2</f>
        <v>1.6626061853654297</v>
      </c>
    </row>
    <row r="3" spans="1:9" x14ac:dyDescent="0.35">
      <c r="A3" t="s">
        <v>1</v>
      </c>
      <c r="B3" s="1">
        <v>1415628</v>
      </c>
      <c r="C3" t="s">
        <v>10</v>
      </c>
      <c r="D3" s="1">
        <v>2679380</v>
      </c>
      <c r="E3" s="2">
        <v>2080893</v>
      </c>
      <c r="F3" s="1">
        <v>1052046</v>
      </c>
      <c r="G3" s="5">
        <f t="shared" ref="G3:G8" si="0">((E3-F3)/F3)</f>
        <v>0.97794868285227077</v>
      </c>
      <c r="H3" s="3">
        <f t="shared" ref="H3:H4" si="1">((D3-E3)/E3)</f>
        <v>0.28761065561756421</v>
      </c>
      <c r="I3" s="5">
        <f t="shared" ref="I3:I8" si="2">(D3-F3)/F3</f>
        <v>1.5468278003053098</v>
      </c>
    </row>
    <row r="4" spans="1:9" x14ac:dyDescent="0.35">
      <c r="A4" t="s">
        <v>3</v>
      </c>
      <c r="B4" s="1">
        <v>1288824</v>
      </c>
      <c r="C4" s="1">
        <v>1143424</v>
      </c>
      <c r="D4" s="1">
        <v>2432248</v>
      </c>
      <c r="E4" s="2">
        <v>2008901</v>
      </c>
      <c r="F4" s="1">
        <v>976193</v>
      </c>
      <c r="G4" s="5">
        <f t="shared" si="0"/>
        <v>1.0578932649588759</v>
      </c>
      <c r="H4" s="3">
        <f t="shared" si="1"/>
        <v>0.2107356211182134</v>
      </c>
      <c r="I4" s="5">
        <f t="shared" si="2"/>
        <v>1.4915646803449727</v>
      </c>
    </row>
    <row r="5" spans="1:9" x14ac:dyDescent="0.35">
      <c r="A5" t="s">
        <v>4</v>
      </c>
      <c r="B5" s="1">
        <v>2019678</v>
      </c>
      <c r="C5" s="1">
        <v>1802647</v>
      </c>
      <c r="D5" s="1">
        <v>3822325</v>
      </c>
      <c r="E5" s="2">
        <v>2972639</v>
      </c>
      <c r="F5" s="1">
        <v>2277931</v>
      </c>
      <c r="G5" s="5">
        <f t="shared" si="0"/>
        <v>0.30497324106832036</v>
      </c>
      <c r="H5" s="3">
        <f>((D5-E5)/E5)</f>
        <v>0.28583558245720386</v>
      </c>
      <c r="I5" s="5">
        <f t="shared" si="2"/>
        <v>0.67798102752014877</v>
      </c>
    </row>
    <row r="6" spans="1:9" x14ac:dyDescent="0.35">
      <c r="A6" t="s">
        <v>5</v>
      </c>
      <c r="B6" s="1">
        <v>1241244</v>
      </c>
      <c r="C6" t="s">
        <v>11</v>
      </c>
      <c r="D6" s="1">
        <v>2329764</v>
      </c>
      <c r="E6" s="2">
        <v>1791751</v>
      </c>
      <c r="F6" s="1">
        <v>1478047</v>
      </c>
      <c r="G6" s="5">
        <f t="shared" si="0"/>
        <v>0.21224223586936003</v>
      </c>
      <c r="H6" s="3">
        <f t="shared" ref="H6:H8" si="3">((D6-E6)/E6)</f>
        <v>0.30027219183915621</v>
      </c>
      <c r="I6" s="5">
        <f t="shared" si="2"/>
        <v>0.5762448690738522</v>
      </c>
    </row>
    <row r="7" spans="1:9" ht="15" thickBot="1" x14ac:dyDescent="0.4">
      <c r="A7" t="s">
        <v>6</v>
      </c>
      <c r="B7" s="1">
        <v>1650838</v>
      </c>
      <c r="C7" s="1">
        <v>1478133</v>
      </c>
      <c r="D7" s="1">
        <v>3128971</v>
      </c>
      <c r="E7" s="2">
        <v>2457019</v>
      </c>
      <c r="F7" s="1">
        <v>1561742</v>
      </c>
      <c r="G7" s="5">
        <f t="shared" si="0"/>
        <v>0.57325537764880496</v>
      </c>
      <c r="H7" s="3">
        <f t="shared" si="3"/>
        <v>0.27348262264150175</v>
      </c>
      <c r="I7" s="5">
        <f t="shared" si="2"/>
        <v>1.0035133844130464</v>
      </c>
    </row>
    <row r="8" spans="1:9" ht="15" thickBot="1" x14ac:dyDescent="0.4">
      <c r="A8" t="s">
        <v>7</v>
      </c>
      <c r="B8" s="1">
        <v>1100838</v>
      </c>
      <c r="C8" s="1">
        <v>967613</v>
      </c>
      <c r="D8" s="1">
        <v>2068451</v>
      </c>
      <c r="E8" s="4">
        <v>1833864</v>
      </c>
      <c r="F8" s="1">
        <v>1037463</v>
      </c>
      <c r="G8" s="5">
        <f t="shared" si="0"/>
        <v>0.76764279786363465</v>
      </c>
      <c r="H8" s="3">
        <f t="shared" si="3"/>
        <v>0.12791951856844347</v>
      </c>
      <c r="I8" s="5">
        <f t="shared" si="2"/>
        <v>0.9937588135673272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Dayyan Shah</dc:creator>
  <cp:lastModifiedBy>Dayyan Shah</cp:lastModifiedBy>
  <dcterms:created xsi:type="dcterms:W3CDTF">2026-07-25T08:23:21Z</dcterms:created>
  <dcterms:modified xsi:type="dcterms:W3CDTF">2026-07-25T10:47:20Z</dcterms:modified>
</cp:coreProperties>
</file>